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acob\Documents\"/>
    </mc:Choice>
  </mc:AlternateContent>
  <xr:revisionPtr revIDLastSave="0" documentId="8_{5A8C42FA-30B2-4DC8-B0D4-797EDFB56F67}" xr6:coauthVersionLast="47" xr6:coauthVersionMax="47" xr10:uidLastSave="{00000000-0000-0000-0000-000000000000}"/>
  <bookViews>
    <workbookView xWindow="-120" yWindow="-120" windowWidth="24240" windowHeight="13020" activeTab="2" xr2:uid="{F7ABE1AF-1337-4D2D-81B0-E712F39E7924}"/>
  </bookViews>
  <sheets>
    <sheet name="Instructions" sheetId="26" r:id="rId1"/>
    <sheet name="MasterTemplate" sheetId="1" r:id="rId2"/>
    <sheet name="WE 03-28-2025" sheetId="27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27" l="1"/>
  <c r="E11" i="27"/>
  <c r="E10" i="27"/>
  <c r="E8" i="27"/>
  <c r="D8" i="27"/>
  <c r="C8" i="27"/>
  <c r="B8" i="27"/>
  <c r="D8" i="1"/>
  <c r="E10" i="1" s="1"/>
  <c r="E8" i="1"/>
  <c r="C8" i="1"/>
  <c r="E11" i="1" s="1"/>
  <c r="B8" i="1"/>
  <c r="E12" i="1" l="1"/>
</calcChain>
</file>

<file path=xl/sharedStrings.xml><?xml version="1.0" encoding="utf-8"?>
<sst xmlns="http://schemas.openxmlformats.org/spreadsheetml/2006/main" count="32" uniqueCount="23">
  <si>
    <t>Date</t>
  </si>
  <si>
    <t>Calls</t>
  </si>
  <si>
    <t>Transfers</t>
  </si>
  <si>
    <t>Hours</t>
  </si>
  <si>
    <t xml:space="preserve">Paused </t>
  </si>
  <si>
    <t>TOTALS</t>
  </si>
  <si>
    <t>Estimated Pay</t>
  </si>
  <si>
    <t>Base Pay</t>
  </si>
  <si>
    <t>Transfer Bonus</t>
  </si>
  <si>
    <t>Instructions</t>
  </si>
  <si>
    <r>
      <t xml:space="preserve">Press </t>
    </r>
    <r>
      <rPr>
        <b/>
        <sz val="14"/>
        <color theme="1"/>
        <rFont val="Courier New"/>
        <family val="3"/>
      </rPr>
      <t>CTRL-I</t>
    </r>
    <r>
      <rPr>
        <sz val="14"/>
        <color theme="1"/>
        <rFont val="Aptos Narrow"/>
        <family val="2"/>
        <scheme val="minor"/>
      </rPr>
      <t xml:space="preserve"> to import a weekly merged Excel file into this workbook in a new worksheet.</t>
    </r>
  </si>
  <si>
    <t>DO NOT edit, remove, or change the MasterTemplate sheet or this app will not work anymore!</t>
  </si>
  <si>
    <t>1. The file is an Excel file</t>
  </si>
  <si>
    <t>3. The file only contains ONLY one week (5 days) of log data</t>
  </si>
  <si>
    <t>Important Notes</t>
  </si>
  <si>
    <t>2. The file contains column headers: Date, Calls, Transfers, Hours, Paused</t>
  </si>
  <si>
    <t xml:space="preserve">     This automatically is the case if you use the Merge app Excel-Merge-Logs.xlsm (part of ACS Toolset)</t>
  </si>
  <si>
    <t xml:space="preserve">     Importing more than 5 days will make the import fail!</t>
  </si>
  <si>
    <t>It is suggested to use Excel-Merge-Logs.xlsm once a week on only that week's logs.</t>
  </si>
  <si>
    <r>
      <rPr>
        <b/>
        <sz val="11"/>
        <color theme="1"/>
        <rFont val="Aptos Narrow"/>
        <family val="2"/>
        <scheme val="minor"/>
      </rPr>
      <t>THEN</t>
    </r>
    <r>
      <rPr>
        <sz val="11"/>
        <color theme="1"/>
        <rFont val="Aptos Narrow"/>
        <family val="2"/>
        <scheme val="minor"/>
      </rPr>
      <t>, use this workbook to import the merged file containing only 1 week of logs.</t>
    </r>
  </si>
  <si>
    <t>This macro-enabled workbook assumes the file you are importing follows these rules:</t>
  </si>
  <si>
    <r>
      <t xml:space="preserve">The daily logs are created with the </t>
    </r>
    <r>
      <rPr>
        <b/>
        <sz val="11"/>
        <color rgb="FFC00000"/>
        <rFont val="Aptos Narrow"/>
        <family val="2"/>
        <scheme val="minor"/>
      </rPr>
      <t>callcount.html</t>
    </r>
    <r>
      <rPr>
        <sz val="11"/>
        <color theme="1"/>
        <rFont val="Aptos Narrow"/>
        <family val="2"/>
        <scheme val="minor"/>
      </rPr>
      <t xml:space="preserve"> webpage tool, which downloads the daily log file to your Downloads folder.</t>
    </r>
  </si>
  <si>
    <r>
      <t xml:space="preserve">Use the </t>
    </r>
    <r>
      <rPr>
        <b/>
        <sz val="11"/>
        <color rgb="FFC00000"/>
        <rFont val="Aptos Narrow"/>
        <family val="2"/>
        <scheme val="minor"/>
      </rPr>
      <t>move_logs.bat</t>
    </r>
    <r>
      <rPr>
        <sz val="11"/>
        <color theme="1"/>
        <rFont val="Aptos Narrow"/>
        <family val="2"/>
        <scheme val="minor"/>
      </rPr>
      <t xml:space="preserve"> program to move the logs from the Downloads folder into the ACS Logs folder (under Downloads).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</si>
</sst>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([$$-409]* #,##0.00_);_([$$-409]* \(#,##0.00\);_([$$-409]* &quot;-&quot;??_);_(@_)"/>
  </numFmts>
  <fonts count="2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24"/>
      <color theme="3" tint="0.249977111117893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4"/>
      <color theme="1"/>
      <name val="Courier New"/>
      <family val="3"/>
    </font>
    <font>
      <sz val="11"/>
      <color rgb="FFC0000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i/>
      <sz val="12"/>
      <color theme="1"/>
      <name val="Aptos Narrow"/>
      <family val="2"/>
      <scheme val="minor"/>
    </font>
    <font>
      <b/>
      <sz val="11"/>
      <color rgb="FFC0000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4" fontId="1" fillId="0" borderId="0" applyFont="0" applyFill="0" applyBorder="0" applyAlignment="0" applyProtection="0"/>
  </cellStyleXfs>
  <cellXfs count="14">
    <xf numFmtId="0" fontId="0" fillId="0" borderId="0" xfId="0"/>
    <xf numFmtId="14" fontId="0" fillId="0" borderId="0" xfId="0" applyNumberFormat="1"/>
    <xf numFmtId="0" fontId="16" fillId="0" borderId="0" xfId="0" applyFont="1"/>
    <xf numFmtId="44" fontId="0" fillId="0" borderId="0" xfId="42" applyFont="1"/>
    <xf numFmtId="44" fontId="16" fillId="0" borderId="0" xfId="0" applyNumberFormat="1" applyFont="1"/>
    <xf numFmtId="164" fontId="0" fillId="0" borderId="0" xfId="42" applyNumberFormat="1" applyFont="1"/>
    <xf numFmtId="0" fontId="18" fillId="0" borderId="0" xfId="0" applyFont="1"/>
    <xf numFmtId="0" fontId="20" fillId="0" borderId="0" xfId="0" applyFont="1"/>
    <xf numFmtId="0" fontId="21" fillId="0" borderId="0" xfId="0" applyFont="1"/>
    <xf numFmtId="0" fontId="23" fillId="0" borderId="0" xfId="0" applyFont="1"/>
    <xf numFmtId="0" fontId="24" fillId="0" borderId="0" xfId="0" applyFont="1"/>
    <xf numFmtId="0" fontId="25" fillId="0" borderId="0" xfId="0" applyFont="1"/>
    <xf numFmtId="0" fontId="19" fillId="0" borderId="0" xfId="0" applyFont="1"/>
    <xf numFmtId="44" fontId="0" fillId="0" borderId="0" xfId="42" applyNumberFormat="1" applyFon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urrency" xfId="42" builtinId="4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Weekly Stats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25600153639333"/>
          <c:y val="0.13748571428571429"/>
          <c:w val="0.72821475364359944"/>
          <c:h val="0.77063517060367459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MasterTemplate!$A$6</c:f>
              <c:strCache>
                <c:ptCount val="1"/>
                <c:pt idx="0">
                  <c:v>3/28/2025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MasterTemplate!$B$1:$D$1</c15:sqref>
                  </c15:fullRef>
                </c:ext>
              </c:extLst>
              <c:f>MasterTemplate!$B$1:$C$1</c:f>
              <c:strCache>
                <c:ptCount val="2"/>
                <c:pt idx="0">
                  <c:v>Calls</c:v>
                </c:pt>
                <c:pt idx="1">
                  <c:v>Transfers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MasterTemplate!$B$6:$D$6</c15:sqref>
                  </c15:fullRef>
                </c:ext>
              </c:extLst>
              <c:f>MasterTemplate!$B$6:$C$6</c:f>
              <c:numCache>
                <c:formatCode>General</c:formatCode>
                <c:ptCount val="2"/>
                <c:pt idx="0">
                  <c:v>40</c:v>
                </c:pt>
                <c:pt idx="1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66-455D-81D5-D49C8322666F}"/>
            </c:ext>
          </c:extLst>
        </c:ser>
        <c:ser>
          <c:idx val="3"/>
          <c:order val="1"/>
          <c:tx>
            <c:strRef>
              <c:f>MasterTemplate!$A$5</c:f>
              <c:strCache>
                <c:ptCount val="1"/>
                <c:pt idx="0">
                  <c:v>3/27/2025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MasterTemplate!$B$1:$D$1</c15:sqref>
                  </c15:fullRef>
                </c:ext>
              </c:extLst>
              <c:f>MasterTemplate!$B$1:$C$1</c:f>
              <c:strCache>
                <c:ptCount val="2"/>
                <c:pt idx="0">
                  <c:v>Calls</c:v>
                </c:pt>
                <c:pt idx="1">
                  <c:v>Transfers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MasterTemplate!$B$5:$D$5</c15:sqref>
                  </c15:fullRef>
                </c:ext>
              </c:extLst>
              <c:f>MasterTemplate!$B$5:$C$5</c:f>
              <c:numCache>
                <c:formatCode>General</c:formatCode>
                <c:ptCount val="2"/>
                <c:pt idx="0">
                  <c:v>10</c:v>
                </c:pt>
                <c:pt idx="1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566-455D-81D5-D49C8322666F}"/>
            </c:ext>
          </c:extLst>
        </c:ser>
        <c:ser>
          <c:idx val="2"/>
          <c:order val="2"/>
          <c:tx>
            <c:strRef>
              <c:f>MasterTemplate!$A$4</c:f>
              <c:strCache>
                <c:ptCount val="1"/>
                <c:pt idx="0">
                  <c:v>3/26/2025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MasterTemplate!$B$1:$D$1</c15:sqref>
                  </c15:fullRef>
                </c:ext>
              </c:extLst>
              <c:f>MasterTemplate!$B$1:$C$1</c:f>
              <c:strCache>
                <c:ptCount val="2"/>
                <c:pt idx="0">
                  <c:v>Calls</c:v>
                </c:pt>
                <c:pt idx="1">
                  <c:v>Transfers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MasterTemplate!$B$4:$D$4</c15:sqref>
                  </c15:fullRef>
                </c:ext>
              </c:extLst>
              <c:f>MasterTemplate!$B$4:$C$4</c:f>
              <c:numCache>
                <c:formatCode>General</c:formatCode>
                <c:ptCount val="2"/>
                <c:pt idx="0">
                  <c:v>30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66-455D-81D5-D49C8322666F}"/>
            </c:ext>
          </c:extLst>
        </c:ser>
        <c:ser>
          <c:idx val="1"/>
          <c:order val="3"/>
          <c:tx>
            <c:strRef>
              <c:f>MasterTemplate!$A$3</c:f>
              <c:strCache>
                <c:ptCount val="1"/>
                <c:pt idx="0">
                  <c:v>3/25/2025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MasterTemplate!$B$1:$D$1</c15:sqref>
                  </c15:fullRef>
                </c:ext>
              </c:extLst>
              <c:f>MasterTemplate!$B$1:$C$1</c:f>
              <c:strCache>
                <c:ptCount val="2"/>
                <c:pt idx="0">
                  <c:v>Calls</c:v>
                </c:pt>
                <c:pt idx="1">
                  <c:v>Transfers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MasterTemplate!$B$3:$D$3</c15:sqref>
                  </c15:fullRef>
                </c:ext>
              </c:extLst>
              <c:f>MasterTemplate!$B$3:$C$3</c:f>
              <c:numCache>
                <c:formatCode>General</c:formatCode>
                <c:ptCount val="2"/>
                <c:pt idx="0">
                  <c:v>20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66-455D-81D5-D49C8322666F}"/>
            </c:ext>
          </c:extLst>
        </c:ser>
        <c:ser>
          <c:idx val="0"/>
          <c:order val="4"/>
          <c:tx>
            <c:strRef>
              <c:f>MasterTemplate!$A$2</c:f>
              <c:strCache>
                <c:ptCount val="1"/>
                <c:pt idx="0">
                  <c:v>3/24/2025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MasterTemplate!$B$1:$D$1</c15:sqref>
                  </c15:fullRef>
                </c:ext>
              </c:extLst>
              <c:f>MasterTemplate!$B$1:$C$1</c:f>
              <c:strCache>
                <c:ptCount val="2"/>
                <c:pt idx="0">
                  <c:v>Calls</c:v>
                </c:pt>
                <c:pt idx="1">
                  <c:v>Transfers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MasterTemplate!$B$2:$D$2</c15:sqref>
                  </c15:fullRef>
                </c:ext>
              </c:extLst>
              <c:f>MasterTemplate!$B$2:$C$2</c:f>
              <c:numCache>
                <c:formatCode>General</c:formatCode>
                <c:ptCount val="2"/>
                <c:pt idx="0">
                  <c:v>10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66-455D-81D5-D49C832266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38438320"/>
        <c:axId val="1838441200"/>
      </c:barChart>
      <c:catAx>
        <c:axId val="18384383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8441200"/>
        <c:crosses val="autoZero"/>
        <c:auto val="1"/>
        <c:lblAlgn val="ctr"/>
        <c:lblOffset val="100"/>
        <c:noMultiLvlLbl val="0"/>
      </c:catAx>
      <c:valAx>
        <c:axId val="1838441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8438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alpha val="96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Weekly Stats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25600153639333"/>
          <c:y val="0.13748571428571429"/>
          <c:w val="0.72821475364359944"/>
          <c:h val="0.77063517060367459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'WE 03-28-2025'!$A$6</c:f>
              <c:strCache>
                <c:ptCount val="1"/>
                <c:pt idx="0">
                  <c:v>3/28/2025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'WE 03-28-2025'!$B$1:$D$1</c15:sqref>
                  </c15:fullRef>
                </c:ext>
              </c:extLst>
              <c:f>'WE 03-28-2025'!$B$1:$C$1</c:f>
              <c:strCache>
                <c:ptCount val="2"/>
                <c:pt idx="0">
                  <c:v>Calls</c:v>
                </c:pt>
                <c:pt idx="1">
                  <c:v>Transfers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'WE 03-28-2025'!$B$6:$D$6</c15:sqref>
                  </c15:fullRef>
                </c:ext>
              </c:extLst>
              <c:f>'WE 03-28-2025'!$B$6:$C$6</c:f>
              <c:numCache>
                <c:formatCode>General</c:formatCode>
                <c:ptCount val="2"/>
                <c:pt idx="0">
                  <c:v>126</c:v>
                </c:pt>
                <c:pt idx="1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D-4F0C-9593-6748736F77D0}"/>
            </c:ext>
          </c:extLst>
        </c:ser>
        <c:ser>
          <c:idx val="3"/>
          <c:order val="1"/>
          <c:tx>
            <c:strRef>
              <c:f>'WE 03-28-2025'!$A$5</c:f>
              <c:strCache>
                <c:ptCount val="1"/>
                <c:pt idx="0">
                  <c:v>3/27/2025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'WE 03-28-2025'!$B$1:$D$1</c15:sqref>
                  </c15:fullRef>
                </c:ext>
              </c:extLst>
              <c:f>'WE 03-28-2025'!$B$1:$C$1</c:f>
              <c:strCache>
                <c:ptCount val="2"/>
                <c:pt idx="0">
                  <c:v>Calls</c:v>
                </c:pt>
                <c:pt idx="1">
                  <c:v>Transfers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'WE 03-28-2025'!$B$5:$D$5</c15:sqref>
                  </c15:fullRef>
                </c:ext>
              </c:extLst>
              <c:f>'WE 03-28-2025'!$B$5:$C$5</c:f>
              <c:numCache>
                <c:formatCode>General</c:formatCode>
                <c:ptCount val="2"/>
                <c:pt idx="0">
                  <c:v>181</c:v>
                </c:pt>
                <c:pt idx="1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7D-4F0C-9593-6748736F77D0}"/>
            </c:ext>
          </c:extLst>
        </c:ser>
        <c:ser>
          <c:idx val="2"/>
          <c:order val="2"/>
          <c:tx>
            <c:strRef>
              <c:f>'WE 03-28-2025'!$A$4</c:f>
              <c:strCache>
                <c:ptCount val="1"/>
                <c:pt idx="0">
                  <c:v>3/26/2025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'WE 03-28-2025'!$B$1:$D$1</c15:sqref>
                  </c15:fullRef>
                </c:ext>
              </c:extLst>
              <c:f>'WE 03-28-2025'!$B$1:$C$1</c:f>
              <c:strCache>
                <c:ptCount val="2"/>
                <c:pt idx="0">
                  <c:v>Calls</c:v>
                </c:pt>
                <c:pt idx="1">
                  <c:v>Transfers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'WE 03-28-2025'!$B$4:$D$4</c15:sqref>
                  </c15:fullRef>
                </c:ext>
              </c:extLst>
              <c:f>'WE 03-28-2025'!$B$4:$C$4</c:f>
              <c:numCache>
                <c:formatCode>General</c:formatCode>
                <c:ptCount val="2"/>
                <c:pt idx="0">
                  <c:v>226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A7D-4F0C-9593-6748736F77D0}"/>
            </c:ext>
          </c:extLst>
        </c:ser>
        <c:ser>
          <c:idx val="1"/>
          <c:order val="3"/>
          <c:tx>
            <c:strRef>
              <c:f>'WE 03-28-2025'!$A$3</c:f>
              <c:strCache>
                <c:ptCount val="1"/>
                <c:pt idx="0">
                  <c:v>3/25/2025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'WE 03-28-2025'!$B$1:$D$1</c15:sqref>
                  </c15:fullRef>
                </c:ext>
              </c:extLst>
              <c:f>'WE 03-28-2025'!$B$1:$C$1</c:f>
              <c:strCache>
                <c:ptCount val="2"/>
                <c:pt idx="0">
                  <c:v>Calls</c:v>
                </c:pt>
                <c:pt idx="1">
                  <c:v>Transfers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'WE 03-28-2025'!$B$3:$D$3</c15:sqref>
                  </c15:fullRef>
                </c:ext>
              </c:extLst>
              <c:f>'WE 03-28-2025'!$B$3:$C$3</c:f>
              <c:numCache>
                <c:formatCode>General</c:formatCode>
                <c:ptCount val="2"/>
                <c:pt idx="0">
                  <c:v>153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A7D-4F0C-9593-6748736F77D0}"/>
            </c:ext>
          </c:extLst>
        </c:ser>
        <c:ser>
          <c:idx val="0"/>
          <c:order val="4"/>
          <c:tx>
            <c:strRef>
              <c:f>'WE 03-28-2025'!$A$2</c:f>
              <c:strCache>
                <c:ptCount val="1"/>
                <c:pt idx="0">
                  <c:v>3/24/2025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'WE 03-28-2025'!$B$1:$D$1</c15:sqref>
                  </c15:fullRef>
                </c:ext>
              </c:extLst>
              <c:f>'WE 03-28-2025'!$B$1:$C$1</c:f>
              <c:strCache>
                <c:ptCount val="2"/>
                <c:pt idx="0">
                  <c:v>Calls</c:v>
                </c:pt>
                <c:pt idx="1">
                  <c:v>Transfers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'WE 03-28-2025'!$B$2:$D$2</c15:sqref>
                  </c15:fullRef>
                </c:ext>
              </c:extLst>
              <c:f>'WE 03-28-2025'!$B$2:$C$2</c:f>
              <c:numCache>
                <c:formatCode>General</c:formatCode>
                <c:ptCount val="2"/>
                <c:pt idx="0">
                  <c:v>176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A7D-4F0C-9593-6748736F77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38438320"/>
        <c:axId val="1838441200"/>
      </c:barChart>
      <c:catAx>
        <c:axId val="18384383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8441200"/>
        <c:crosses val="autoZero"/>
        <c:auto val="1"/>
        <c:lblAlgn val="ctr"/>
        <c:lblOffset val="100"/>
        <c:noMultiLvlLbl val="0"/>
      </c:catAx>
      <c:valAx>
        <c:axId val="1838441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8438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alpha val="96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190499</xdr:rowOff>
    </xdr:from>
    <xdr:to>
      <xdr:col>16</xdr:col>
      <xdr:colOff>0</xdr:colOff>
      <xdr:row>18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9D5E57-0C73-84CA-05A0-C7F816F342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190499</xdr:rowOff>
    </xdr:from>
    <xdr:to>
      <xdr:col>16</xdr:col>
      <xdr:colOff>0</xdr:colOff>
      <xdr:row>18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E9B7047-CC0C-45FB-8605-F90FEA76C9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821A7-AA9A-43A9-A64E-ADE457273E25}">
  <sheetPr codeName="Sheet19"/>
  <dimension ref="B1:D22"/>
  <sheetViews>
    <sheetView workbookViewId="0">
      <selection activeCell="A3" sqref="A3"/>
    </sheetView>
  </sheetViews>
  <sheetFormatPr defaultRowHeight="15" x14ac:dyDescent="0.25"/>
  <sheetData>
    <row r="1" spans="2:4" ht="31.5" x14ac:dyDescent="0.5">
      <c r="B1" s="7" t="s">
        <v>9</v>
      </c>
    </row>
    <row r="3" spans="2:4" ht="19.5" x14ac:dyDescent="0.35">
      <c r="B3" s="8" t="s">
        <v>10</v>
      </c>
    </row>
    <row r="6" spans="2:4" x14ac:dyDescent="0.25">
      <c r="B6" s="9" t="s">
        <v>11</v>
      </c>
    </row>
    <row r="8" spans="2:4" ht="18.75" x14ac:dyDescent="0.3">
      <c r="B8" s="10" t="s">
        <v>14</v>
      </c>
    </row>
    <row r="10" spans="2:4" ht="15.75" x14ac:dyDescent="0.25">
      <c r="B10" s="6" t="s">
        <v>20</v>
      </c>
      <c r="C10" s="6"/>
      <c r="D10" s="6"/>
    </row>
    <row r="11" spans="2:4" ht="15.75" x14ac:dyDescent="0.25">
      <c r="B11" s="6"/>
      <c r="C11" s="6"/>
      <c r="D11" s="6"/>
    </row>
    <row r="12" spans="2:4" ht="15.75" x14ac:dyDescent="0.25">
      <c r="B12" s="6"/>
      <c r="C12" s="6" t="s">
        <v>12</v>
      </c>
      <c r="D12" s="6"/>
    </row>
    <row r="13" spans="2:4" ht="15.75" x14ac:dyDescent="0.25">
      <c r="B13" s="6"/>
      <c r="C13" s="6" t="s">
        <v>15</v>
      </c>
      <c r="D13" s="6"/>
    </row>
    <row r="14" spans="2:4" ht="15.75" x14ac:dyDescent="0.25">
      <c r="B14" s="6"/>
      <c r="C14" s="11" t="s">
        <v>16</v>
      </c>
      <c r="D14" s="6"/>
    </row>
    <row r="15" spans="2:4" ht="15.75" x14ac:dyDescent="0.25">
      <c r="B15" s="6"/>
      <c r="C15" s="6" t="s">
        <v>13</v>
      </c>
      <c r="D15" s="6"/>
    </row>
    <row r="16" spans="2:4" ht="15.75" x14ac:dyDescent="0.25">
      <c r="C16" s="11" t="s">
        <v>17</v>
      </c>
    </row>
    <row r="18" spans="2:2" ht="15.75" x14ac:dyDescent="0.25">
      <c r="B18" s="12" t="s">
        <v>18</v>
      </c>
    </row>
    <row r="19" spans="2:2" ht="15.75" x14ac:dyDescent="0.25">
      <c r="B19" s="12"/>
    </row>
    <row r="20" spans="2:2" x14ac:dyDescent="0.25">
      <c r="B20" t="s">
        <v>21</v>
      </c>
    </row>
    <row r="21" spans="2:2" x14ac:dyDescent="0.25">
      <c r="B21" t="s">
        <v>22</v>
      </c>
    </row>
    <row r="22" spans="2:2" x14ac:dyDescent="0.25">
      <c r="B22" t="s">
        <v>19</v>
      </c>
    </row>
  </sheetData>
  <sheetProtection algorithmName="SHA-512" hashValue="ILzMD43FBn74oTqkiUoHOF+5MFgWON0HKZdciGvdHCIwBahXg76ZGRuudGbOSTH1Cmjf+qOsUYook+Mz0mkyAw==" saltValue="l2LONbo5LA+2l+q0fF8/7Q==" spinCount="100000" sheet="1" objects="1" scenario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915B6-FA5F-4E0E-806A-981EE922FE3A}">
  <sheetPr codeName="Sheet1"/>
  <dimension ref="A1:E12"/>
  <sheetViews>
    <sheetView workbookViewId="0">
      <selection activeCell="C14" sqref="C14"/>
    </sheetView>
  </sheetViews>
  <sheetFormatPr defaultRowHeight="15" x14ac:dyDescent="0.25"/>
  <sheetData>
    <row r="1" spans="1:5" s="2" customFormat="1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5" x14ac:dyDescent="0.25">
      <c r="A2" s="1">
        <v>45740</v>
      </c>
      <c r="B2">
        <v>10</v>
      </c>
      <c r="C2">
        <v>1</v>
      </c>
      <c r="D2">
        <v>3</v>
      </c>
      <c r="E2">
        <v>0</v>
      </c>
    </row>
    <row r="3" spans="1:5" x14ac:dyDescent="0.25">
      <c r="A3" s="1">
        <v>45741</v>
      </c>
      <c r="B3">
        <v>20</v>
      </c>
      <c r="C3">
        <v>4</v>
      </c>
      <c r="D3">
        <v>3</v>
      </c>
      <c r="E3">
        <v>0</v>
      </c>
    </row>
    <row r="4" spans="1:5" x14ac:dyDescent="0.25">
      <c r="A4" s="1">
        <v>45742</v>
      </c>
      <c r="B4">
        <v>30</v>
      </c>
      <c r="C4">
        <v>1</v>
      </c>
      <c r="D4">
        <v>3</v>
      </c>
      <c r="E4">
        <v>0</v>
      </c>
    </row>
    <row r="5" spans="1:5" x14ac:dyDescent="0.25">
      <c r="A5" s="1">
        <v>45743</v>
      </c>
      <c r="B5">
        <v>10</v>
      </c>
      <c r="C5">
        <v>7</v>
      </c>
      <c r="D5">
        <v>2.94</v>
      </c>
      <c r="E5">
        <v>0</v>
      </c>
    </row>
    <row r="6" spans="1:5" x14ac:dyDescent="0.25">
      <c r="A6" s="1">
        <v>45744</v>
      </c>
      <c r="B6">
        <v>40</v>
      </c>
      <c r="C6">
        <v>7</v>
      </c>
      <c r="D6">
        <v>2.85</v>
      </c>
      <c r="E6">
        <v>0</v>
      </c>
    </row>
    <row r="8" spans="1:5" x14ac:dyDescent="0.25">
      <c r="A8" s="2" t="s">
        <v>5</v>
      </c>
      <c r="B8">
        <f>SUM(B2:B7)</f>
        <v>110</v>
      </c>
      <c r="C8">
        <f>SUM(C2:C7)</f>
        <v>20</v>
      </c>
      <c r="D8">
        <f>SUM(D2:D7)</f>
        <v>14.79</v>
      </c>
      <c r="E8">
        <f>SUM(E2:E7)</f>
        <v>0</v>
      </c>
    </row>
    <row r="10" spans="1:5" x14ac:dyDescent="0.25">
      <c r="A10" t="s">
        <v>7</v>
      </c>
      <c r="E10" s="5">
        <f>D8*15</f>
        <v>221.85</v>
      </c>
    </row>
    <row r="11" spans="1:5" x14ac:dyDescent="0.25">
      <c r="A11" t="s">
        <v>8</v>
      </c>
      <c r="E11" s="3">
        <f>C8*4</f>
        <v>80</v>
      </c>
    </row>
    <row r="12" spans="1:5" x14ac:dyDescent="0.25">
      <c r="A12" s="2" t="s">
        <v>6</v>
      </c>
      <c r="E12" s="4">
        <f>SUM(E10:E11)</f>
        <v>301.85000000000002</v>
      </c>
    </row>
  </sheetData>
  <sheetProtection algorithmName="SHA-512" hashValue="cvs1wVBzrKNg65wd0OIp0t/e3jQdPS+s2f/dxgvkKVN1rZn49LEzKd+1PCCqdVtOv8Y8XXv0025Gi5e+v+o/6A==" saltValue="wvd7iqy5TCvdmNfk92M4Yg==" spinCount="100000" sheet="1" objects="1" scenarios="1"/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8AF48-FA5B-4633-8E0D-BE0D3FBC723A}">
  <sheetPr codeName="Sheet2"/>
  <dimension ref="A1:E12"/>
  <sheetViews>
    <sheetView tabSelected="1" workbookViewId="0">
      <selection activeCell="C14" sqref="C14"/>
    </sheetView>
  </sheetViews>
  <sheetFormatPr defaultRowHeight="15" x14ac:dyDescent="0.25"/>
  <sheetData>
    <row r="1" spans="1:5" s="2" customFormat="1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5" x14ac:dyDescent="0.25">
      <c r="A2" s="1">
        <v>45740</v>
      </c>
      <c r="B2">
        <v>176</v>
      </c>
      <c r="C2">
        <v>4</v>
      </c>
      <c r="D2">
        <v>2.89</v>
      </c>
      <c r="E2">
        <v>0</v>
      </c>
    </row>
    <row r="3" spans="1:5" x14ac:dyDescent="0.25">
      <c r="A3" s="1">
        <v>45741</v>
      </c>
      <c r="B3">
        <v>153</v>
      </c>
      <c r="C3">
        <v>4</v>
      </c>
      <c r="D3">
        <v>2.19</v>
      </c>
      <c r="E3">
        <v>0</v>
      </c>
    </row>
    <row r="4" spans="1:5" x14ac:dyDescent="0.25">
      <c r="A4" s="1">
        <v>45742</v>
      </c>
      <c r="B4">
        <v>226</v>
      </c>
      <c r="C4">
        <v>1</v>
      </c>
      <c r="D4">
        <v>2.81</v>
      </c>
      <c r="E4">
        <v>0</v>
      </c>
    </row>
    <row r="5" spans="1:5" x14ac:dyDescent="0.25">
      <c r="A5" s="1">
        <v>45743</v>
      </c>
      <c r="B5">
        <v>181</v>
      </c>
      <c r="C5">
        <v>7</v>
      </c>
      <c r="D5">
        <v>2.94</v>
      </c>
      <c r="E5">
        <v>0</v>
      </c>
    </row>
    <row r="6" spans="1:5" x14ac:dyDescent="0.25">
      <c r="A6" s="1">
        <v>45744</v>
      </c>
      <c r="B6">
        <v>126</v>
      </c>
      <c r="C6">
        <v>7</v>
      </c>
      <c r="D6">
        <v>2.85</v>
      </c>
      <c r="E6">
        <v>0</v>
      </c>
    </row>
    <row r="8" spans="1:5" x14ac:dyDescent="0.25">
      <c r="A8" s="2" t="s">
        <v>5</v>
      </c>
      <c r="B8">
        <f>SUM(B2:B7)</f>
        <v>862</v>
      </c>
      <c r="C8">
        <f>SUM(C2:C7)</f>
        <v>23</v>
      </c>
      <c r="D8">
        <f>SUM(D2:D7)</f>
        <v>13.68</v>
      </c>
      <c r="E8">
        <f>SUM(E2:E7)</f>
        <v>0</v>
      </c>
    </row>
    <row r="10" spans="1:5" x14ac:dyDescent="0.25">
      <c r="A10" t="s">
        <v>7</v>
      </c>
      <c r="E10" s="13">
        <f>D8*15</f>
        <v>205.2</v>
      </c>
    </row>
    <row r="11" spans="1:5" x14ac:dyDescent="0.25">
      <c r="A11" t="s">
        <v>8</v>
      </c>
      <c r="E11" s="13">
        <f>C8*4</f>
        <v>92</v>
      </c>
    </row>
    <row r="12" spans="1:5" x14ac:dyDescent="0.25">
      <c r="A12" s="2" t="s">
        <v>6</v>
      </c>
      <c r="E12" s="4">
        <f>SUM(E10:E11)</f>
        <v>297.2</v>
      </c>
    </row>
  </sheetData>
  <pageMargins left="0.75" right="0.75" top="1" bottom="1" header="0.5" footer="0.5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BBD8E63-DC64-400E-8D70-81B6FB82DD3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Instructions</vt:lpstr>
      <vt:lpstr>MasterTemplate</vt:lpstr>
      <vt:lpstr>WE 03-28-2025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jacob.eiler</dc:creator>
  <cp:lastModifiedBy>jacob.eiler</cp:lastModifiedBy>
  <dcterms:created xsi:type="dcterms:W3CDTF">2025-03-31T22:34:31Z</dcterms:created>
  <dcterms:modified xsi:type="dcterms:W3CDTF">2025-04-01T04:56:46Z</dcterms:modified>
</cp:coreProperties>
</file>